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7B8C91-FE93-43A7-BA86-F59CC9EC49C2}" xr6:coauthVersionLast="47" xr6:coauthVersionMax="47" xr10:uidLastSave="{00000000-0000-0000-0000-000000000000}"/>
  <bookViews>
    <workbookView xWindow="2688" yWindow="2688" windowWidth="17280" windowHeight="8880" tabRatio="727" xr2:uid="{FBEE0547-C1DD-4B7A-A3EB-2BA1446463BC}"/>
  </bookViews>
  <sheets>
    <sheet name="Copyright" sheetId="5" r:id="rId1"/>
    <sheet name="Raw Data " sheetId="26" r:id="rId2"/>
    <sheet name="Cleaned Data" sheetId="1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0" l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</calcChain>
</file>

<file path=xl/sharedStrings.xml><?xml version="1.0" encoding="utf-8"?>
<sst xmlns="http://schemas.openxmlformats.org/spreadsheetml/2006/main" count="266" uniqueCount="93">
  <si>
    <t>Copyright Notice</t>
  </si>
  <si>
    <t xml:space="preserve"> </t>
  </si>
  <si>
    <t>The content in this file was created by Mynda Treacy from My Online Training Hub.</t>
  </si>
  <si>
    <t>Individual users are permitted to recreate the examples for personal practice only.</t>
  </si>
  <si>
    <r>
      <t xml:space="preserve">Recreating the examples for training or demonstration to others is </t>
    </r>
    <r>
      <rPr>
        <b/>
        <sz val="14"/>
        <rFont val="Calibri"/>
        <family val="2"/>
        <scheme val="minor"/>
      </rPr>
      <t>not permitted</t>
    </r>
    <r>
      <rPr>
        <sz val="14"/>
        <rFont val="Calibri"/>
        <family val="2"/>
        <scheme val="minor"/>
      </rPr>
      <t>, unless written consent is granted by Mynda Treacy.</t>
    </r>
  </si>
  <si>
    <t>The workbook and any sheets within must be accompanied by the following copyright notice: My Online Training Hub ©.</t>
  </si>
  <si>
    <t>This sheet must remain in any file that uses this data and or these techniques.</t>
  </si>
  <si>
    <t>Any uses of this workbook and/or data must include the above attribution.</t>
  </si>
  <si>
    <t>Social Channels</t>
  </si>
  <si>
    <t>Dataset</t>
  </si>
  <si>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</si>
  <si>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</si>
  <si>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</si>
  <si>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</si>
  <si>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</si>
  <si>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</si>
  <si>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</si>
  <si>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</si>
  <si>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</si>
  <si>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</si>
  <si>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</si>
  <si>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</si>
  <si>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</si>
  <si>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</si>
  <si>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</si>
  <si>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</si>
  <si>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</si>
  <si>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</si>
  <si>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</si>
  <si>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</si>
  <si>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</si>
  <si>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</si>
  <si>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</si>
  <si>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</si>
  <si>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</si>
  <si>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</si>
  <si>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</si>
  <si>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</si>
  <si>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</si>
  <si>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</si>
  <si>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</si>
  <si>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</si>
  <si>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</si>
  <si>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</si>
  <si>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</si>
  <si>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</si>
  <si>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</si>
  <si>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</si>
  <si>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</si>
  <si>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</si>
  <si>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</si>
  <si>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</si>
  <si>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</si>
  <si>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</si>
  <si>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</si>
  <si>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</si>
  <si>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</si>
  <si>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</si>
  <si>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</si>
  <si>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</si>
  <si>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</si>
  <si>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</si>
  <si>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</si>
  <si>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</si>
  <si>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</si>
  <si>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</si>
  <si>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</si>
  <si>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</si>
  <si>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</si>
  <si>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</si>
  <si>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</si>
  <si>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</si>
  <si>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</si>
  <si>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</si>
  <si>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</si>
  <si>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</si>
  <si>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</si>
  <si>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</si>
  <si>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</si>
  <si>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</si>
  <si>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</si>
  <si>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</si>
  <si>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</si>
  <si>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</si>
  <si>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</si>
  <si>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</si>
  <si>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John Smith</t>
  </si>
  <si>
    <t>Mike Tyson</t>
  </si>
  <si>
    <t>Anna Belle</t>
  </si>
  <si>
    <t>Peter Parker</t>
  </si>
  <si>
    <t>TBA</t>
  </si>
  <si>
    <t>Excellent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</si>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</sst>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28"/>
      <color theme="0"/>
      <name val="Segoe U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0" fontId="5" fillId="0" borderId="0" xfId="0" applyFont="1" applyAlignment="1">
      <alignment horizontal="left" vertical="top"/>
    </xf>
    <xf numFmtId="22" fontId="6" fillId="0" borderId="0" xfId="0" applyNumberFormat="1" applyFont="1"/>
    <xf numFmtId="0" fontId="6" fillId="0" borderId="0" xfId="0" applyFont="1"/>
    <xf numFmtId="8" fontId="6" fillId="0" borderId="0" xfId="0" applyNumberFormat="1" applyFont="1"/>
    <xf numFmtId="0" fontId="5" fillId="0" borderId="0" xfId="0" applyFont="1" applyFill="1" applyBorder="1" applyAlignment="1">
      <alignment horizontal="left" vertical="top"/>
    </xf>
    <xf numFmtId="0" fontId="6" fillId="0" borderId="0" xfId="0" applyFont="1" applyFill="1" applyBorder="1"/>
    <xf numFmtId="8" fontId="6" fillId="0" borderId="0" xfId="0" applyNumberFormat="1" applyFont="1" applyFill="1" applyBorder="1"/>
    <xf numFmtId="0" fontId="5" fillId="0" borderId="0" xfId="0" applyFont="1" applyFill="1" applyBorder="1"/>
    <xf numFmtId="1" fontId="5" fillId="0" borderId="0" xfId="0" applyNumberFormat="1" applyFont="1" applyFill="1" applyBorder="1" applyAlignment="1">
      <alignment horizontal="left" vertical="top"/>
    </xf>
    <xf numFmtId="1" fontId="6" fillId="0" borderId="0" xfId="0" applyNumberFormat="1" applyFont="1" applyFill="1" applyBorder="1"/>
    <xf numFmtId="1" fontId="0" fillId="0" borderId="0" xfId="0" applyNumberFormat="1"/>
    <xf numFmtId="4" fontId="6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left" vertical="top"/>
    </xf>
    <xf numFmtId="164" fontId="6" fillId="0" borderId="0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yyyy\-mm\-dd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https://www.myonlinetraininghub.com/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hyperlink" Target="https://www.myonlinetraininghub.com/how-to-clean-data-in-excel" TargetMode="Externa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https://youtu.be/oT4emh72fu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428625</xdr:colOff>
      <xdr:row>0</xdr:row>
      <xdr:rowOff>85725</xdr:rowOff>
    </xdr:from>
    <xdr:ext cx="3705377" cy="504824"/>
    <xdr:pic>
      <xdr:nvPicPr>
        <xdr:cNvPr id="3" name="my-online-training-hub-logo-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8A69EB-FC7B-406A-9433-D6766A23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238875" y="85725"/>
          <a:ext cx="3705377" cy="50482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 descr="YouTube Channel">
          <a:extLst>
            <a:ext uri="{FF2B5EF4-FFF2-40B4-BE49-F238E27FC236}">
              <a16:creationId xmlns:a16="http://schemas.microsoft.com/office/drawing/2014/main" id="{D3EAB3B2-8E9F-2873-E52B-CA50C6E4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4" name="Picture 3" descr="LinkedIn Profile">
          <a:extLst>
            <a:ext uri="{FF2B5EF4-FFF2-40B4-BE49-F238E27FC236}">
              <a16:creationId xmlns:a16="http://schemas.microsoft.com/office/drawing/2014/main" id="{BBC772A7-4575-1821-E4F7-0B92876B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43250"/>
          <a:ext cx="609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323850</xdr:colOff>
      <xdr:row>0</xdr:row>
      <xdr:rowOff>142874</xdr:rowOff>
    </xdr:from>
    <xdr:to>
      <xdr:col>5</xdr:col>
      <xdr:colOff>438150</xdr:colOff>
      <xdr:row>0</xdr:row>
      <xdr:rowOff>438149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804B25-9EEF-4DCD-B74A-5766C4AEF850}"/>
            </a:ext>
          </a:extLst>
        </xdr:cNvPr>
        <xdr:cNvGrpSpPr/>
      </xdr:nvGrpSpPr>
      <xdr:grpSpPr>
        <a:xfrm>
          <a:off x="3440430" y="142874"/>
          <a:ext cx="1188720" cy="295275"/>
          <a:chOff x="4486275" y="142875"/>
          <a:chExt cx="1162050" cy="29527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1114B3A4-DAA5-4B93-9B39-1BC082B71F98}"/>
              </a:ext>
            </a:extLst>
          </xdr:cNvPr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read tutorial</a:t>
            </a:r>
          </a:p>
        </xdr:txBody>
      </xdr:sp>
      <xdr:pic>
        <xdr:nvPicPr>
          <xdr:cNvPr id="4" name="Graphic 3" descr="Document">
            <a:extLst>
              <a:ext uri="{FF2B5EF4-FFF2-40B4-BE49-F238E27FC236}">
                <a16:creationId xmlns:a16="http://schemas.microsoft.com/office/drawing/2014/main" id="{993789BF-BF79-464A-8545-11E6C25968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581024</xdr:colOff>
      <xdr:row>0</xdr:row>
      <xdr:rowOff>142874</xdr:rowOff>
    </xdr:from>
    <xdr:to>
      <xdr:col>6</xdr:col>
      <xdr:colOff>380999</xdr:colOff>
      <xdr:row>0</xdr:row>
      <xdr:rowOff>438149</xdr:rowOff>
    </xdr:to>
    <xdr:grpSp>
      <xdr:nvGrpSpPr>
        <xdr:cNvPr id="5" name="Group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EAE60C6-5E4A-48B9-924C-F002A4201260}"/>
            </a:ext>
          </a:extLst>
        </xdr:cNvPr>
        <xdr:cNvGrpSpPr/>
      </xdr:nvGrpSpPr>
      <xdr:grpSpPr>
        <a:xfrm>
          <a:off x="4772024" y="142874"/>
          <a:ext cx="1407795" cy="295275"/>
          <a:chOff x="5400674" y="152400"/>
          <a:chExt cx="1362075" cy="295275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726E7267-03B2-45A0-AE02-198FBEE130DD}"/>
              </a:ext>
            </a:extLst>
          </xdr:cNvPr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chemeClr val="bg1">
              <a:lumMod val="50000"/>
            </a:schemeClr>
          </a:solidFill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AU" sz="1100">
                <a:latin typeface="Segoe UI" panose="020B0502040204020203" pitchFamily="34" charset="0"/>
                <a:cs typeface="Segoe UI" panose="020B0502040204020203" pitchFamily="34" charset="0"/>
              </a:rPr>
              <a:t>watch tutorial</a:t>
            </a: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E3794EDE-1805-4F4B-BD81-4A4E6D355ACC}"/>
              </a:ext>
            </a:extLst>
          </xdr:cNvPr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8" name="Rectangle: Rounded Corners 7">
              <a:extLst>
                <a:ext uri="{FF2B5EF4-FFF2-40B4-BE49-F238E27FC236}">
                  <a16:creationId xmlns:a16="http://schemas.microsoft.com/office/drawing/2014/main" id="{93D0A44C-D984-4959-BFC2-6E3AF9C00B9B}"/>
                </a:ext>
              </a:extLst>
            </xdr:cNvPr>
            <xdr:cNvSpPr/>
          </xdr:nvSpPr>
          <xdr:spPr>
            <a:xfrm>
              <a:off x="5495924" y="2943225"/>
              <a:ext cx="1362075" cy="971550"/>
            </a:xfrm>
            <a:prstGeom prst="roundRect">
              <a:avLst>
                <a:gd name="adj" fmla="val 23738"/>
              </a:avLst>
            </a:prstGeom>
            <a:solidFill>
              <a:srgbClr val="FF0000">
                <a:alpha val="69804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  <xdr:sp macro="" textlink="">
          <xdr:nvSpPr>
            <xdr:cNvPr id="9" name="Isosceles Triangle 8">
              <a:extLst>
                <a:ext uri="{FF2B5EF4-FFF2-40B4-BE49-F238E27FC236}">
                  <a16:creationId xmlns:a16="http://schemas.microsoft.com/office/drawing/2014/main" id="{E252A353-7D55-4A0A-A74B-1F7FF6AD54A9}"/>
                </a:ext>
              </a:extLst>
            </xdr:cNvPr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AU" sz="1100"/>
            </a:p>
          </xdr:txBody>
        </xdr:sp>
      </xdr:grpSp>
    </xdr:grpSp>
    <xdr:clientData/>
  </xdr:twoCellAnchor>
  <xdr:twoCellAnchor editAs="absolute">
    <xdr:from>
      <xdr:col>7</xdr:col>
      <xdr:colOff>323697</xdr:colOff>
      <xdr:row>0</xdr:row>
      <xdr:rowOff>38100</xdr:rowOff>
    </xdr:from>
    <xdr:to>
      <xdr:col>13</xdr:col>
      <xdr:colOff>95249</xdr:colOff>
      <xdr:row>0</xdr:row>
      <xdr:rowOff>542924</xdr:rowOff>
    </xdr:to>
    <xdr:pic>
      <xdr:nvPicPr>
        <xdr:cNvPr id="10" name="my-online-training-hub-logo-2">
          <a:extLst>
            <a:ext uri="{FF2B5EF4-FFF2-40B4-BE49-F238E27FC236}">
              <a16:creationId xmlns:a16="http://schemas.microsoft.com/office/drawing/2014/main" id="{E5D5036A-7CAB-416D-977A-3488FCE2F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716877" y="38100"/>
          <a:ext cx="3733952" cy="5048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2824B-D82C-4873-BE4D-1842054884A3}" name="Table2" displayName="Table2" ref="A1:I29" totalsRowShown="0" headerRowDxfId="10" dataDxfId="9">
  <autoFilter ref="A1:I29" xr:uid="{D662824B-D82C-4873-BE4D-1842054884A3}"/>
  <tableColumns count="9">
    <tableColumn id="1" xr3:uid="{9F8A166F-C01A-4ECC-AECA-1177515C50B4}" name="Date" dataDxfId="8"/>
    <tableColumn id="2" xr3:uid="{D4BD9218-3BF2-4499-B110-9783599549EA}" name="ID" dataDxfId="7"/>
    <tableColumn id="3" xr3:uid="{B1643024-D745-4E11-9A70-A5D007B01FD3}" name="Name" dataDxfId="6"/>
    <tableColumn id="4" xr3:uid="{750F6E6B-1B7C-4E1B-8C7A-0073FB069E07}" name="Region" dataDxfId="5"/>
    <tableColumn id="5" xr3:uid="{A89EB09B-4482-4DD0-AE5A-C50F2C1F3268}" name="Rating" dataDxfId="4"/>
    <tableColumn id="6" xr3:uid="{D5C60A1C-0580-4AF7-B759-FAC5A9779025}" name="Product" dataDxfId="3"/>
    <tableColumn id="7" xr3:uid="{7DE6DD33-0D77-4D5B-BFEA-D44EE22D1ACE}" name="Quantity" dataDxfId="2"/>
    <tableColumn id="8" xr3:uid="{2C66FE4B-96B4-4F6F-B35F-991D631DB91E}" name="Price Per Unit" dataDxfId="1"/>
    <tableColumn id="9" xr3:uid="{4C45296B-DE0E-483F-815F-F64CE7874497}" name="Sales" dataDxfId="0">
      <calculatedColumnFormula>IFERROR(Table2[[#This Row],[Quantity]]*Table2[[#This Row],[Price Per Unit]], "")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8689-294F-425B-92D5-0A64A793B10E}">
  <dimension ref="A1:Q30"/>
  <sheetViews>
    <sheetView showGridLines="0" showRowColHeaders="0" tabSelected="1" workbookViewId="0">
      <selection activeCell="B8" sqref="B8"/>
    </sheetView>
  </sheetViews>
  <sheetFormatPr defaultColWidth="0" defaultRowHeight="14.4" zeroHeight="1" x14ac:dyDescent="0.3"/>
  <cols>
    <col min="1" max="1" width="4.88671875" customWidth="1"/>
    <col min="2" max="17" width="9.109375" customWidth="1"/>
    <col min="18" max="16384" width="9.109375" hidden="1"/>
  </cols>
  <sheetData>
    <row r="1" spans="1:17" ht="52.5" customHeight="1" x14ac:dyDescent="0.3">
      <c r="A1" s="3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/>
    <row r="3" spans="1:17" ht="18" x14ac:dyDescent="0.35">
      <c r="B3" s="1" t="s">
        <v>1</v>
      </c>
    </row>
    <row r="4" spans="1:17" ht="18" x14ac:dyDescent="0.3">
      <c r="B4" s="2" t="s">
        <v>2</v>
      </c>
    </row>
    <row r="5" spans="1:17" ht="18" x14ac:dyDescent="0.3">
      <c r="B5" s="2" t="s">
        <v>3</v>
      </c>
    </row>
    <row r="6" spans="1:17" ht="18" x14ac:dyDescent="0.3">
      <c r="B6" s="2" t="s">
        <v>4</v>
      </c>
    </row>
    <row r="7" spans="1:17" ht="18" x14ac:dyDescent="0.3">
      <c r="B7" s="2"/>
    </row>
    <row r="8" spans="1:17" ht="18" x14ac:dyDescent="0.3">
      <c r="B8" s="2" t="s">
        <v>5</v>
      </c>
    </row>
    <row r="9" spans="1:17" x14ac:dyDescent="0.3"/>
    <row r="10" spans="1:17" ht="18" x14ac:dyDescent="0.3">
      <c r="B10" s="2" t="s">
        <v>6</v>
      </c>
    </row>
    <row r="11" spans="1:17" ht="18" x14ac:dyDescent="0.3">
      <c r="B11" s="2" t="s">
        <v>7</v>
      </c>
    </row>
    <row r="30" spans="2:2" hidden="1" x14ac:dyDescent="0.3">
      <c r="B30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CDFDA-DE30-4C92-9D3F-2918CBD9F5ED}">
  <dimension ref="A1:P33"/>
  <sheetViews>
    <sheetView workbookViewId="0">
      <selection activeCell="F10" sqref="F10"/>
    </sheetView>
  </sheetViews>
  <sheetFormatPr defaultRowHeight="14.4" x14ac:dyDescent="0.3"/>
  <cols>
    <col min="1" max="1" width="24.88671875" bestFit="1" customWidth="1"/>
    <col min="2" max="2" width="3" bestFit="1" customWidth="1"/>
    <col min="3" max="3" width="17.5546875" bestFit="1" customWidth="1"/>
    <col min="4" max="4" width="7.109375" bestFit="1" customWidth="1"/>
    <col min="5" max="5" width="8.5546875" bestFit="1" customWidth="1"/>
    <col min="6" max="6" width="23.44140625" bestFit="1" customWidth="1"/>
    <col min="7" max="7" width="8.6640625" bestFit="1" customWidth="1"/>
    <col min="8" max="8" width="13.33203125" bestFit="1" customWidth="1"/>
  </cols>
  <sheetData>
    <row r="1" spans="1:16" s="4" customFormat="1" ht="48.75" customHeight="1" x14ac:dyDescent="0.4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</row>
    <row r="3" spans="1:16" ht="9.9" customHeight="1" x14ac:dyDescent="0.3">
      <c r="A3" s="6">
        <v>44227</v>
      </c>
      <c r="B3" s="7">
        <v>1</v>
      </c>
      <c r="C3" s="7" t="s">
        <v>18</v>
      </c>
      <c r="D3" s="7" t="s">
        <v>19</v>
      </c>
      <c r="E3" s="7" t="s">
        <v>20</v>
      </c>
      <c r="F3" s="7" t="s">
        <v>21</v>
      </c>
      <c r="G3" s="7">
        <v>10</v>
      </c>
      <c r="H3" s="8">
        <v>20</v>
      </c>
    </row>
    <row r="4" spans="1:16" ht="9.9" customHeight="1" x14ac:dyDescent="0.3">
      <c r="A4" s="6">
        <v>44255</v>
      </c>
      <c r="B4" s="7">
        <v>2</v>
      </c>
      <c r="C4" s="7" t="s">
        <v>22</v>
      </c>
      <c r="D4" s="7" t="s">
        <v>23</v>
      </c>
      <c r="E4" s="7" t="s">
        <v>24</v>
      </c>
      <c r="F4" s="7" t="s">
        <v>25</v>
      </c>
      <c r="G4" s="7">
        <v>15</v>
      </c>
      <c r="H4" s="8">
        <v>10</v>
      </c>
    </row>
    <row r="5" spans="1:16" ht="9.9" customHeight="1" x14ac:dyDescent="0.3">
      <c r="A5" s="6">
        <v>44286</v>
      </c>
      <c r="B5" s="7">
        <v>3</v>
      </c>
      <c r="C5" s="7" t="s">
        <v>26</v>
      </c>
      <c r="D5" s="7" t="s">
        <v>27</v>
      </c>
      <c r="E5" s="7" t="s">
        <v>28</v>
      </c>
      <c r="F5" s="7" t="s">
        <v>29</v>
      </c>
      <c r="G5" s="7">
        <v>0</v>
      </c>
      <c r="H5" s="7" t="s">
        <v>30</v>
      </c>
    </row>
    <row r="6" spans="1:16" ht="9.9" customHeight="1" x14ac:dyDescent="0.3">
      <c r="A6" s="6">
        <v>44316</v>
      </c>
      <c r="B6" s="7">
        <v>4</v>
      </c>
      <c r="C6" s="7" t="s">
        <v>31</v>
      </c>
      <c r="D6" s="7" t="s">
        <v>32</v>
      </c>
      <c r="E6" s="7" t="s">
        <v>33</v>
      </c>
      <c r="F6" s="7" t="s">
        <v>34</v>
      </c>
      <c r="G6" s="7">
        <v>25</v>
      </c>
      <c r="H6" s="8">
        <v>10</v>
      </c>
    </row>
    <row r="7" spans="1:16" x14ac:dyDescent="0.3">
      <c r="A7" s="6">
        <v>44347</v>
      </c>
      <c r="B7" s="7">
        <v>5</v>
      </c>
      <c r="C7" s="7" t="s">
        <v>35</v>
      </c>
      <c r="D7" s="7" t="s">
        <v>23</v>
      </c>
      <c r="E7" s="7" t="s">
        <v>20</v>
      </c>
      <c r="F7" s="7" t="s">
        <v>36</v>
      </c>
      <c r="G7" s="7">
        <v>30</v>
      </c>
      <c r="H7" s="8">
        <v>16.670000000000002</v>
      </c>
    </row>
    <row r="8" spans="1:16" x14ac:dyDescent="0.3">
      <c r="A8" s="6">
        <v>44377</v>
      </c>
      <c r="B8" s="7">
        <v>6</v>
      </c>
      <c r="C8" s="7" t="s">
        <v>37</v>
      </c>
      <c r="D8" s="7"/>
      <c r="E8" s="7" t="s">
        <v>24</v>
      </c>
      <c r="F8" s="7" t="s">
        <v>38</v>
      </c>
      <c r="G8" s="7">
        <v>0</v>
      </c>
      <c r="H8" s="7" t="s">
        <v>30</v>
      </c>
    </row>
    <row r="9" spans="1:16" x14ac:dyDescent="0.3">
      <c r="A9" s="6">
        <v>44408</v>
      </c>
      <c r="B9" s="7">
        <v>7</v>
      </c>
      <c r="C9" s="7" t="s">
        <v>39</v>
      </c>
      <c r="D9" s="7" t="s">
        <v>27</v>
      </c>
      <c r="E9" s="7" t="s">
        <v>28</v>
      </c>
      <c r="F9" s="7" t="s">
        <v>40</v>
      </c>
      <c r="G9" s="7">
        <v>35</v>
      </c>
      <c r="H9" s="8">
        <v>10</v>
      </c>
    </row>
    <row r="10" spans="1:16" x14ac:dyDescent="0.3">
      <c r="A10" s="6">
        <v>44439</v>
      </c>
      <c r="B10" s="7">
        <v>8</v>
      </c>
      <c r="C10" s="7" t="s">
        <v>41</v>
      </c>
      <c r="D10" s="7" t="s">
        <v>32</v>
      </c>
      <c r="E10" s="7" t="s">
        <v>33</v>
      </c>
      <c r="F10" s="7" t="s">
        <v>42</v>
      </c>
      <c r="G10" s="7">
        <v>40</v>
      </c>
      <c r="H10" s="8">
        <v>15</v>
      </c>
    </row>
    <row r="11" spans="1:16" x14ac:dyDescent="0.3">
      <c r="A11" s="6">
        <v>44469</v>
      </c>
      <c r="B11" s="7">
        <v>9</v>
      </c>
      <c r="C11" s="7" t="s">
        <v>43</v>
      </c>
      <c r="D11" s="7" t="s">
        <v>23</v>
      </c>
      <c r="E11" s="7" t="s">
        <v>20</v>
      </c>
      <c r="F11" s="7" t="s">
        <v>44</v>
      </c>
      <c r="G11" s="7">
        <v>45</v>
      </c>
      <c r="H11" s="8">
        <v>12.22</v>
      </c>
    </row>
    <row r="12" spans="1:16" ht="9.9" customHeight="1" x14ac:dyDescent="0.3">
      <c r="A12" s="6">
        <v>44500</v>
      </c>
      <c r="B12" s="7">
        <v>10</v>
      </c>
      <c r="C12" s="7" t="s">
        <v>45</v>
      </c>
      <c r="D12" s="7" t="s">
        <v>19</v>
      </c>
      <c r="E12" s="7" t="s">
        <v>24</v>
      </c>
      <c r="F12" s="7" t="s">
        <v>46</v>
      </c>
      <c r="G12" s="7">
        <v>50</v>
      </c>
      <c r="H12" s="8">
        <v>14</v>
      </c>
    </row>
    <row r="13" spans="1:16" ht="9.9" customHeight="1" x14ac:dyDescent="0.3">
      <c r="A13" s="6">
        <v>44530</v>
      </c>
      <c r="B13" s="7">
        <v>11</v>
      </c>
      <c r="C13" s="7" t="s">
        <v>47</v>
      </c>
      <c r="D13" s="7" t="s">
        <v>27</v>
      </c>
      <c r="E13" s="7" t="s">
        <v>28</v>
      </c>
      <c r="F13" s="7" t="s">
        <v>48</v>
      </c>
      <c r="G13" s="7">
        <v>5</v>
      </c>
      <c r="H13" s="8">
        <v>160</v>
      </c>
    </row>
    <row r="14" spans="1:16" ht="9.9" customHeight="1" x14ac:dyDescent="0.3">
      <c r="A14" s="6">
        <v>44561</v>
      </c>
      <c r="B14" s="7">
        <v>12</v>
      </c>
      <c r="C14" s="7" t="s">
        <v>49</v>
      </c>
      <c r="D14" s="7" t="s">
        <v>32</v>
      </c>
      <c r="E14" s="7" t="s">
        <v>33</v>
      </c>
      <c r="F14" s="7" t="s">
        <v>50</v>
      </c>
      <c r="G14" s="7">
        <v>20</v>
      </c>
      <c r="H14" s="8">
        <v>45</v>
      </c>
    </row>
    <row r="15" spans="1:16" ht="20.100000000000001" customHeight="1" x14ac:dyDescent="0.3">
      <c r="A15" s="6">
        <v>44592</v>
      </c>
      <c r="B15" s="7">
        <v>13</v>
      </c>
      <c r="C15" s="7" t="s">
        <v>51</v>
      </c>
      <c r="D15" s="7" t="s">
        <v>23</v>
      </c>
      <c r="E15" s="7" t="s">
        <v>20</v>
      </c>
      <c r="F15" s="7" t="s">
        <v>52</v>
      </c>
      <c r="G15" s="7">
        <v>0</v>
      </c>
      <c r="H15" s="7" t="s">
        <v>30</v>
      </c>
    </row>
    <row r="16" spans="1:16" ht="20.100000000000001" customHeight="1" x14ac:dyDescent="0.3">
      <c r="A16" s="6">
        <v>44620</v>
      </c>
      <c r="B16" s="7">
        <v>14</v>
      </c>
      <c r="C16" s="7" t="s">
        <v>53</v>
      </c>
      <c r="D16" s="7"/>
      <c r="E16" s="7" t="s">
        <v>24</v>
      </c>
      <c r="F16" s="7" t="s">
        <v>54</v>
      </c>
      <c r="G16" s="7">
        <v>30</v>
      </c>
      <c r="H16" s="8">
        <v>36.67</v>
      </c>
    </row>
    <row r="17" spans="1:8" ht="20.100000000000001" customHeight="1" x14ac:dyDescent="0.3">
      <c r="A17" s="6">
        <v>44316</v>
      </c>
      <c r="B17" s="7">
        <v>4</v>
      </c>
      <c r="C17" s="7" t="s">
        <v>31</v>
      </c>
      <c r="D17" s="7" t="s">
        <v>32</v>
      </c>
      <c r="E17" s="7" t="s">
        <v>33</v>
      </c>
      <c r="F17" s="7" t="s">
        <v>34</v>
      </c>
      <c r="G17" s="7">
        <v>25</v>
      </c>
      <c r="H17" s="8">
        <v>10</v>
      </c>
    </row>
    <row r="18" spans="1:8" ht="20.100000000000001" customHeight="1" x14ac:dyDescent="0.3">
      <c r="A18" s="6">
        <v>44347</v>
      </c>
      <c r="B18" s="7">
        <v>5</v>
      </c>
      <c r="C18" s="7" t="s">
        <v>35</v>
      </c>
      <c r="D18" s="7" t="s">
        <v>23</v>
      </c>
      <c r="E18" s="7" t="s">
        <v>20</v>
      </c>
      <c r="F18" s="7" t="s">
        <v>36</v>
      </c>
      <c r="G18" s="7">
        <v>30</v>
      </c>
      <c r="H18" s="8">
        <v>16.670000000000002</v>
      </c>
    </row>
    <row r="19" spans="1:8" ht="20.100000000000001" customHeight="1" x14ac:dyDescent="0.3">
      <c r="A19" s="6">
        <v>44377</v>
      </c>
      <c r="B19" s="7">
        <v>6</v>
      </c>
      <c r="C19" s="7" t="s">
        <v>37</v>
      </c>
      <c r="D19" s="7"/>
      <c r="E19" s="7" t="s">
        <v>24</v>
      </c>
      <c r="F19" s="7" t="s">
        <v>38</v>
      </c>
      <c r="G19" s="7">
        <v>0</v>
      </c>
      <c r="H19" s="7" t="s">
        <v>30</v>
      </c>
    </row>
    <row r="20" spans="1:8" ht="20.100000000000001" customHeight="1" x14ac:dyDescent="0.3">
      <c r="A20" s="6">
        <v>44651</v>
      </c>
      <c r="B20" s="7">
        <v>15</v>
      </c>
      <c r="C20" s="7" t="s">
        <v>55</v>
      </c>
      <c r="D20" s="7" t="s">
        <v>27</v>
      </c>
      <c r="E20" s="7" t="s">
        <v>28</v>
      </c>
      <c r="F20" s="7" t="s">
        <v>56</v>
      </c>
      <c r="G20" s="7">
        <v>35</v>
      </c>
      <c r="H20" s="8">
        <v>34.29</v>
      </c>
    </row>
    <row r="21" spans="1:8" ht="20.100000000000001" customHeight="1" x14ac:dyDescent="0.3">
      <c r="A21" s="6">
        <v>44681</v>
      </c>
      <c r="B21" s="7">
        <v>16</v>
      </c>
      <c r="C21" s="7" t="s">
        <v>57</v>
      </c>
      <c r="D21" s="7"/>
      <c r="E21" s="7" t="s">
        <v>33</v>
      </c>
      <c r="F21" s="7" t="s">
        <v>58</v>
      </c>
      <c r="G21" s="7">
        <v>0</v>
      </c>
      <c r="H21" s="7" t="s">
        <v>30</v>
      </c>
    </row>
    <row r="22" spans="1:8" ht="20.100000000000001" customHeight="1" x14ac:dyDescent="0.3">
      <c r="A22" s="6">
        <v>44712</v>
      </c>
      <c r="B22" s="7">
        <v>17</v>
      </c>
      <c r="C22" s="7" t="s">
        <v>59</v>
      </c>
      <c r="D22" s="7" t="s">
        <v>23</v>
      </c>
      <c r="E22" s="7" t="s">
        <v>20</v>
      </c>
      <c r="F22" s="7" t="s">
        <v>60</v>
      </c>
      <c r="G22" s="7">
        <v>40</v>
      </c>
      <c r="H22" s="8">
        <v>35</v>
      </c>
    </row>
    <row r="23" spans="1:8" ht="20.100000000000001" customHeight="1" x14ac:dyDescent="0.3">
      <c r="A23" s="6">
        <v>44742</v>
      </c>
      <c r="B23" s="7">
        <v>18</v>
      </c>
      <c r="C23" s="7" t="s">
        <v>61</v>
      </c>
      <c r="D23" s="7" t="s">
        <v>19</v>
      </c>
      <c r="E23" s="7" t="s">
        <v>24</v>
      </c>
      <c r="F23" s="7" t="s">
        <v>62</v>
      </c>
      <c r="G23" s="7">
        <v>45</v>
      </c>
      <c r="H23" s="8">
        <v>33.33</v>
      </c>
    </row>
    <row r="24" spans="1:8" ht="20.100000000000001" customHeight="1" x14ac:dyDescent="0.3">
      <c r="A24" s="6">
        <v>44773</v>
      </c>
      <c r="B24" s="7">
        <v>19</v>
      </c>
      <c r="C24" s="7" t="s">
        <v>63</v>
      </c>
      <c r="D24" s="7" t="s">
        <v>27</v>
      </c>
      <c r="E24" s="7" t="s">
        <v>28</v>
      </c>
      <c r="F24" s="7" t="s">
        <v>64</v>
      </c>
      <c r="G24" s="7">
        <v>50</v>
      </c>
      <c r="H24" s="8">
        <v>32</v>
      </c>
    </row>
    <row r="25" spans="1:8" ht="20.100000000000001" customHeight="1" x14ac:dyDescent="0.3">
      <c r="A25" s="6">
        <v>44804</v>
      </c>
      <c r="B25" s="7">
        <v>20</v>
      </c>
      <c r="C25" s="7" t="s">
        <v>65</v>
      </c>
      <c r="D25" s="7" t="s">
        <v>32</v>
      </c>
      <c r="E25" s="7" t="s">
        <v>33</v>
      </c>
      <c r="F25" s="7" t="s">
        <v>66</v>
      </c>
      <c r="G25" s="7">
        <v>55</v>
      </c>
      <c r="H25" s="8">
        <v>30.91</v>
      </c>
    </row>
    <row r="26" spans="1:8" ht="20.100000000000001" customHeight="1" x14ac:dyDescent="0.3">
      <c r="A26" s="6">
        <v>44834</v>
      </c>
      <c r="B26" s="7">
        <v>21</v>
      </c>
      <c r="C26" s="7" t="s">
        <v>67</v>
      </c>
      <c r="D26" s="7" t="s">
        <v>23</v>
      </c>
      <c r="E26" s="7" t="s">
        <v>20</v>
      </c>
      <c r="F26" s="7" t="s">
        <v>68</v>
      </c>
      <c r="G26" s="7">
        <v>60</v>
      </c>
      <c r="H26" s="8">
        <v>30</v>
      </c>
    </row>
    <row r="27" spans="1:8" ht="20.100000000000001" customHeight="1" x14ac:dyDescent="0.3">
      <c r="A27" s="6">
        <v>44865</v>
      </c>
      <c r="B27" s="7">
        <v>22</v>
      </c>
      <c r="C27" s="7" t="s">
        <v>69</v>
      </c>
      <c r="D27" s="7" t="s">
        <v>19</v>
      </c>
      <c r="E27" s="7" t="s">
        <v>24</v>
      </c>
      <c r="F27" s="7" t="s">
        <v>70</v>
      </c>
      <c r="G27" s="7">
        <v>0</v>
      </c>
      <c r="H27" s="7" t="s">
        <v>30</v>
      </c>
    </row>
    <row r="28" spans="1:8" ht="20.100000000000001" customHeight="1" x14ac:dyDescent="0.3">
      <c r="A28" s="6">
        <v>44895</v>
      </c>
      <c r="B28" s="7">
        <v>23</v>
      </c>
      <c r="C28" s="7" t="s">
        <v>71</v>
      </c>
      <c r="D28" s="7" t="s">
        <v>27</v>
      </c>
      <c r="E28" s="7" t="s">
        <v>28</v>
      </c>
      <c r="F28" s="7" t="s">
        <v>72</v>
      </c>
      <c r="G28" s="7">
        <v>65</v>
      </c>
      <c r="H28" s="8">
        <v>30.77</v>
      </c>
    </row>
    <row r="29" spans="1:8" ht="20.100000000000001" customHeight="1" x14ac:dyDescent="0.3">
      <c r="A29" s="6">
        <v>44926</v>
      </c>
      <c r="B29" s="7">
        <v>24</v>
      </c>
      <c r="C29" s="7" t="s">
        <v>73</v>
      </c>
      <c r="D29" s="7" t="s">
        <v>32</v>
      </c>
      <c r="E29" s="7" t="s">
        <v>33</v>
      </c>
      <c r="F29" s="7" t="s">
        <v>74</v>
      </c>
      <c r="G29" s="7">
        <v>70</v>
      </c>
      <c r="H29" s="8">
        <v>30</v>
      </c>
    </row>
    <row r="30" spans="1:8" ht="20.100000000000001" customHeight="1" x14ac:dyDescent="0.3">
      <c r="A30" s="6">
        <v>44957</v>
      </c>
      <c r="B30" s="7">
        <v>25</v>
      </c>
      <c r="C30" s="7" t="s">
        <v>75</v>
      </c>
      <c r="D30" s="7" t="s">
        <v>76</v>
      </c>
      <c r="E30" s="7" t="s">
        <v>77</v>
      </c>
      <c r="F30" s="7" t="s">
        <v>78</v>
      </c>
      <c r="G30" s="7">
        <v>75</v>
      </c>
      <c r="H30" s="8">
        <v>29.33</v>
      </c>
    </row>
    <row r="31" spans="1:8" ht="20.100000000000001" customHeight="1" x14ac:dyDescent="0.3">
      <c r="A31" s="6">
        <v>44985</v>
      </c>
      <c r="B31" s="7">
        <v>26</v>
      </c>
      <c r="C31" s="7" t="s">
        <v>79</v>
      </c>
      <c r="D31" s="7" t="s">
        <v>76</v>
      </c>
      <c r="E31" s="7" t="s">
        <v>80</v>
      </c>
      <c r="F31" s="7" t="s">
        <v>81</v>
      </c>
      <c r="G31" s="7">
        <v>80</v>
      </c>
      <c r="H31" s="8">
        <v>28.75</v>
      </c>
    </row>
    <row r="32" spans="1:8" ht="20.100000000000001" customHeight="1" x14ac:dyDescent="0.3">
      <c r="A32" s="6">
        <v>45016</v>
      </c>
      <c r="B32" s="7">
        <v>27</v>
      </c>
      <c r="C32" s="7" t="s">
        <v>51</v>
      </c>
      <c r="D32" s="7" t="s">
        <v>23</v>
      </c>
      <c r="E32" s="7" t="s">
        <v>82</v>
      </c>
      <c r="F32" s="7" t="s">
        <v>83</v>
      </c>
      <c r="G32" s="7">
        <v>0</v>
      </c>
      <c r="H32" s="7" t="s">
        <v>30</v>
      </c>
    </row>
    <row r="33" spans="1:8" ht="20.100000000000001" customHeight="1" x14ac:dyDescent="0.3">
      <c r="A33" s="6">
        <v>45046</v>
      </c>
      <c r="B33" s="7">
        <v>28</v>
      </c>
      <c r="C33" s="7" t="s">
        <v>49</v>
      </c>
      <c r="D33" s="7" t="s">
        <v>32</v>
      </c>
      <c r="E33" s="7" t="s">
        <v>84</v>
      </c>
      <c r="F33" s="7" t="s">
        <v>85</v>
      </c>
      <c r="G33" s="7">
        <v>85</v>
      </c>
      <c r="H33" s="8">
        <v>29.41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I29"/>
  <sheetViews>
    <sheetView showGridLines="0" zoomScale="117" workbookViewId="0">
      <selection activeCell="D12" sqref="D12"/>
    </sheetView>
  </sheetViews>
  <sheetFormatPr defaultRowHeight="14.4" x14ac:dyDescent="0.3"/>
  <cols>
    <col min="1" max="1" width="14.6640625" style="19" bestFit="1" customWidth="1"/>
    <col min="2" max="2" width="5" bestFit="1" customWidth="1"/>
    <col min="3" max="3" width="16.5546875" bestFit="1" customWidth="1"/>
    <col min="4" max="4" width="9" bestFit="1" customWidth="1"/>
    <col min="5" max="5" width="8.5546875" bestFit="1" customWidth="1"/>
    <col min="6" max="6" width="21.44140625" bestFit="1" customWidth="1"/>
    <col min="7" max="7" width="10.5546875" style="15" bestFit="1" customWidth="1"/>
    <col min="8" max="8" width="14.5546875" bestFit="1" customWidth="1"/>
    <col min="9" max="9" width="17.77734375" customWidth="1"/>
  </cols>
  <sheetData>
    <row r="1" spans="1:9" x14ac:dyDescent="0.3">
      <c r="A1" s="17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13" t="s">
        <v>16</v>
      </c>
      <c r="H1" s="9" t="s">
        <v>17</v>
      </c>
      <c r="I1" s="9" t="s">
        <v>92</v>
      </c>
    </row>
    <row r="2" spans="1:9" x14ac:dyDescent="0.3">
      <c r="A2" s="18">
        <v>44227</v>
      </c>
      <c r="B2" s="10">
        <v>1</v>
      </c>
      <c r="C2" s="10" t="s">
        <v>86</v>
      </c>
      <c r="D2" s="10" t="s">
        <v>19</v>
      </c>
      <c r="E2" s="10" t="s">
        <v>20</v>
      </c>
      <c r="F2" s="10" t="s">
        <v>21</v>
      </c>
      <c r="G2" s="14">
        <v>10</v>
      </c>
      <c r="H2" s="11">
        <v>20</v>
      </c>
      <c r="I2" s="11">
        <f>IFERROR(Table2[[#This Row],[Quantity]]*Table2[[#This Row],[Price Per Unit]], "")</f>
        <v>200</v>
      </c>
    </row>
    <row r="3" spans="1:9" x14ac:dyDescent="0.3">
      <c r="A3" s="18">
        <v>44255</v>
      </c>
      <c r="B3" s="10">
        <v>2</v>
      </c>
      <c r="C3" s="10" t="s">
        <v>22</v>
      </c>
      <c r="D3" s="10" t="s">
        <v>23</v>
      </c>
      <c r="E3" s="10" t="s">
        <v>91</v>
      </c>
      <c r="F3" s="10" t="s">
        <v>25</v>
      </c>
      <c r="G3" s="14">
        <v>15</v>
      </c>
      <c r="H3" s="11">
        <v>10</v>
      </c>
      <c r="I3" s="11">
        <f>IFERROR(Table2[[#This Row],[Quantity]]*Table2[[#This Row],[Price Per Unit]], "")</f>
        <v>150</v>
      </c>
    </row>
    <row r="4" spans="1:9" x14ac:dyDescent="0.3">
      <c r="A4" s="18">
        <v>44286</v>
      </c>
      <c r="B4" s="10">
        <v>3</v>
      </c>
      <c r="C4" s="10" t="s">
        <v>87</v>
      </c>
      <c r="D4" s="10" t="s">
        <v>27</v>
      </c>
      <c r="E4" s="10" t="s">
        <v>28</v>
      </c>
      <c r="F4" s="10" t="s">
        <v>29</v>
      </c>
      <c r="G4" s="14">
        <v>0</v>
      </c>
      <c r="H4" s="10"/>
      <c r="I4" s="11">
        <f>IFERROR(Table2[[#This Row],[Quantity]]*Table2[[#This Row],[Price Per Unit]], "")</f>
        <v>0</v>
      </c>
    </row>
    <row r="5" spans="1:9" x14ac:dyDescent="0.3">
      <c r="A5" s="18">
        <v>44316</v>
      </c>
      <c r="B5" s="10">
        <v>4</v>
      </c>
      <c r="C5" s="10" t="s">
        <v>88</v>
      </c>
      <c r="D5" s="10" t="s">
        <v>32</v>
      </c>
      <c r="E5" s="10" t="s">
        <v>33</v>
      </c>
      <c r="F5" s="10" t="s">
        <v>34</v>
      </c>
      <c r="G5" s="14">
        <v>25</v>
      </c>
      <c r="H5" s="11">
        <v>10</v>
      </c>
      <c r="I5" s="11">
        <f>IFERROR(Table2[[#This Row],[Quantity]]*Table2[[#This Row],[Price Per Unit]], "")</f>
        <v>250</v>
      </c>
    </row>
    <row r="6" spans="1:9" x14ac:dyDescent="0.3">
      <c r="A6" s="18">
        <v>44347</v>
      </c>
      <c r="B6" s="10">
        <v>5</v>
      </c>
      <c r="C6" s="10" t="s">
        <v>35</v>
      </c>
      <c r="D6" s="10" t="s">
        <v>23</v>
      </c>
      <c r="E6" s="10" t="s">
        <v>20</v>
      </c>
      <c r="F6" s="10" t="s">
        <v>36</v>
      </c>
      <c r="G6" s="14">
        <v>30</v>
      </c>
      <c r="H6" s="11">
        <v>16.670000000000002</v>
      </c>
      <c r="I6" s="11">
        <f>IFERROR(Table2[[#This Row],[Quantity]]*Table2[[#This Row],[Price Per Unit]], "")</f>
        <v>500.1</v>
      </c>
    </row>
    <row r="7" spans="1:9" x14ac:dyDescent="0.3">
      <c r="A7" s="18">
        <v>44377</v>
      </c>
      <c r="B7" s="10">
        <v>6</v>
      </c>
      <c r="C7" s="10" t="s">
        <v>89</v>
      </c>
      <c r="D7" s="12" t="s">
        <v>90</v>
      </c>
      <c r="E7" s="10" t="s">
        <v>91</v>
      </c>
      <c r="F7" s="10" t="s">
        <v>38</v>
      </c>
      <c r="G7" s="14">
        <v>0</v>
      </c>
      <c r="H7" s="10"/>
      <c r="I7" s="11">
        <f>IFERROR(Table2[[#This Row],[Quantity]]*Table2[[#This Row],[Price Per Unit]], "")</f>
        <v>0</v>
      </c>
    </row>
    <row r="8" spans="1:9" x14ac:dyDescent="0.3">
      <c r="A8" s="18">
        <v>44408</v>
      </c>
      <c r="B8" s="10">
        <v>7</v>
      </c>
      <c r="C8" s="10" t="s">
        <v>39</v>
      </c>
      <c r="D8" s="10" t="s">
        <v>27</v>
      </c>
      <c r="E8" s="10" t="s">
        <v>28</v>
      </c>
      <c r="F8" s="10" t="s">
        <v>40</v>
      </c>
      <c r="G8" s="14">
        <v>35</v>
      </c>
      <c r="H8" s="11">
        <v>10</v>
      </c>
      <c r="I8" s="11">
        <f>IFERROR(Table2[[#This Row],[Quantity]]*Table2[[#This Row],[Price Per Unit]], "")</f>
        <v>350</v>
      </c>
    </row>
    <row r="9" spans="1:9" x14ac:dyDescent="0.3">
      <c r="A9" s="18">
        <v>44439</v>
      </c>
      <c r="B9" s="10">
        <v>8</v>
      </c>
      <c r="C9" s="10" t="s">
        <v>41</v>
      </c>
      <c r="D9" s="10" t="s">
        <v>32</v>
      </c>
      <c r="E9" s="10" t="s">
        <v>33</v>
      </c>
      <c r="F9" s="10" t="s">
        <v>42</v>
      </c>
      <c r="G9" s="14">
        <v>40</v>
      </c>
      <c r="H9" s="11">
        <v>15</v>
      </c>
      <c r="I9" s="11">
        <f>IFERROR(Table2[[#This Row],[Quantity]]*Table2[[#This Row],[Price Per Unit]], "")</f>
        <v>600</v>
      </c>
    </row>
    <row r="10" spans="1:9" x14ac:dyDescent="0.3">
      <c r="A10" s="18">
        <v>44469</v>
      </c>
      <c r="B10" s="10">
        <v>9</v>
      </c>
      <c r="C10" s="10" t="s">
        <v>43</v>
      </c>
      <c r="D10" s="10" t="s">
        <v>23</v>
      </c>
      <c r="E10" s="10" t="s">
        <v>20</v>
      </c>
      <c r="F10" s="10" t="s">
        <v>44</v>
      </c>
      <c r="G10" s="14">
        <v>45</v>
      </c>
      <c r="H10" s="11">
        <v>12.22</v>
      </c>
      <c r="I10" s="11">
        <f>IFERROR(Table2[[#This Row],[Quantity]]*Table2[[#This Row],[Price Per Unit]], "")</f>
        <v>549.9</v>
      </c>
    </row>
    <row r="11" spans="1:9" x14ac:dyDescent="0.3">
      <c r="A11" s="18">
        <v>44500</v>
      </c>
      <c r="B11" s="10">
        <v>10</v>
      </c>
      <c r="C11" s="10" t="s">
        <v>45</v>
      </c>
      <c r="D11" s="10" t="s">
        <v>19</v>
      </c>
      <c r="E11" s="10" t="s">
        <v>91</v>
      </c>
      <c r="F11" s="10" t="s">
        <v>46</v>
      </c>
      <c r="G11" s="14">
        <v>50</v>
      </c>
      <c r="H11" s="11">
        <v>14</v>
      </c>
      <c r="I11" s="11">
        <f>IFERROR(Table2[[#This Row],[Quantity]]*Table2[[#This Row],[Price Per Unit]], "")</f>
        <v>700</v>
      </c>
    </row>
    <row r="12" spans="1:9" x14ac:dyDescent="0.3">
      <c r="A12" s="18">
        <v>44530</v>
      </c>
      <c r="B12" s="10">
        <v>11</v>
      </c>
      <c r="C12" s="10" t="s">
        <v>47</v>
      </c>
      <c r="D12" s="10" t="s">
        <v>27</v>
      </c>
      <c r="E12" s="10" t="s">
        <v>28</v>
      </c>
      <c r="F12" s="10" t="s">
        <v>48</v>
      </c>
      <c r="G12" s="14">
        <v>5</v>
      </c>
      <c r="H12" s="11">
        <v>160</v>
      </c>
      <c r="I12" s="11">
        <f>IFERROR(Table2[[#This Row],[Quantity]]*Table2[[#This Row],[Price Per Unit]], "")</f>
        <v>800</v>
      </c>
    </row>
    <row r="13" spans="1:9" x14ac:dyDescent="0.3">
      <c r="A13" s="18">
        <v>44561</v>
      </c>
      <c r="B13" s="10">
        <v>12</v>
      </c>
      <c r="C13" s="10" t="s">
        <v>49</v>
      </c>
      <c r="D13" s="10" t="s">
        <v>32</v>
      </c>
      <c r="E13" s="10" t="s">
        <v>33</v>
      </c>
      <c r="F13" s="16" t="s">
        <v>50</v>
      </c>
      <c r="G13" s="14">
        <v>20</v>
      </c>
      <c r="H13" s="11">
        <v>45</v>
      </c>
      <c r="I13" s="11">
        <f>IFERROR(Table2[[#This Row],[Quantity]]*Table2[[#This Row],[Price Per Unit]], "")</f>
        <v>900</v>
      </c>
    </row>
    <row r="14" spans="1:9" x14ac:dyDescent="0.3">
      <c r="A14" s="18">
        <v>44592</v>
      </c>
      <c r="B14" s="10">
        <v>13</v>
      </c>
      <c r="C14" s="10" t="s">
        <v>51</v>
      </c>
      <c r="D14" s="10" t="s">
        <v>23</v>
      </c>
      <c r="E14" s="10" t="s">
        <v>20</v>
      </c>
      <c r="F14" s="10" t="s">
        <v>52</v>
      </c>
      <c r="G14" s="14">
        <v>0</v>
      </c>
      <c r="H14" s="10"/>
      <c r="I14" s="11">
        <f>IFERROR(Table2[[#This Row],[Quantity]]*Table2[[#This Row],[Price Per Unit]], "")</f>
        <v>0</v>
      </c>
    </row>
    <row r="15" spans="1:9" x14ac:dyDescent="0.3">
      <c r="A15" s="18">
        <v>44620</v>
      </c>
      <c r="B15" s="10">
        <v>14</v>
      </c>
      <c r="C15" s="10" t="s">
        <v>53</v>
      </c>
      <c r="D15" s="12" t="s">
        <v>90</v>
      </c>
      <c r="E15" s="10" t="s">
        <v>91</v>
      </c>
      <c r="F15" s="10" t="s">
        <v>54</v>
      </c>
      <c r="G15" s="14">
        <v>30</v>
      </c>
      <c r="H15" s="11">
        <v>36.67</v>
      </c>
      <c r="I15" s="11">
        <f>IFERROR(Table2[[#This Row],[Quantity]]*Table2[[#This Row],[Price Per Unit]], "")</f>
        <v>1100.1000000000001</v>
      </c>
    </row>
    <row r="16" spans="1:9" x14ac:dyDescent="0.3">
      <c r="A16" s="18">
        <v>44651</v>
      </c>
      <c r="B16" s="10">
        <v>15</v>
      </c>
      <c r="C16" s="10" t="s">
        <v>55</v>
      </c>
      <c r="D16" s="10" t="s">
        <v>27</v>
      </c>
      <c r="E16" s="10" t="s">
        <v>28</v>
      </c>
      <c r="F16" s="10" t="s">
        <v>56</v>
      </c>
      <c r="G16" s="14">
        <v>35</v>
      </c>
      <c r="H16" s="11">
        <v>34.29</v>
      </c>
      <c r="I16" s="11">
        <f>IFERROR(Table2[[#This Row],[Quantity]]*Table2[[#This Row],[Price Per Unit]], "")</f>
        <v>1200.1499999999999</v>
      </c>
    </row>
    <row r="17" spans="1:9" x14ac:dyDescent="0.3">
      <c r="A17" s="18">
        <v>44681</v>
      </c>
      <c r="B17" s="10">
        <v>16</v>
      </c>
      <c r="C17" s="10" t="s">
        <v>57</v>
      </c>
      <c r="D17" s="12" t="s">
        <v>90</v>
      </c>
      <c r="E17" s="10" t="s">
        <v>33</v>
      </c>
      <c r="F17" s="10" t="s">
        <v>58</v>
      </c>
      <c r="G17" s="14">
        <v>0</v>
      </c>
      <c r="H17" s="10"/>
      <c r="I17" s="11">
        <f>IFERROR(Table2[[#This Row],[Quantity]]*Table2[[#This Row],[Price Per Unit]], "")</f>
        <v>0</v>
      </c>
    </row>
    <row r="18" spans="1:9" x14ac:dyDescent="0.3">
      <c r="A18" s="18">
        <v>44712</v>
      </c>
      <c r="B18" s="10">
        <v>17</v>
      </c>
      <c r="C18" s="10" t="s">
        <v>59</v>
      </c>
      <c r="D18" s="10" t="s">
        <v>23</v>
      </c>
      <c r="E18" s="10" t="s">
        <v>20</v>
      </c>
      <c r="F18" s="10" t="s">
        <v>60</v>
      </c>
      <c r="G18" s="14">
        <v>40</v>
      </c>
      <c r="H18" s="11">
        <v>35</v>
      </c>
      <c r="I18" s="11">
        <f>IFERROR(Table2[[#This Row],[Quantity]]*Table2[[#This Row],[Price Per Unit]], "")</f>
        <v>1400</v>
      </c>
    </row>
    <row r="19" spans="1:9" x14ac:dyDescent="0.3">
      <c r="A19" s="18">
        <v>44742</v>
      </c>
      <c r="B19" s="10">
        <v>18</v>
      </c>
      <c r="C19" s="10" t="s">
        <v>61</v>
      </c>
      <c r="D19" s="10" t="s">
        <v>19</v>
      </c>
      <c r="E19" s="10" t="s">
        <v>91</v>
      </c>
      <c r="F19" s="10" t="s">
        <v>62</v>
      </c>
      <c r="G19" s="14">
        <v>45</v>
      </c>
      <c r="H19" s="11">
        <v>33.33</v>
      </c>
      <c r="I19" s="11">
        <f>IFERROR(Table2[[#This Row],[Quantity]]*Table2[[#This Row],[Price Per Unit]], "")</f>
        <v>1499.85</v>
      </c>
    </row>
    <row r="20" spans="1:9" x14ac:dyDescent="0.3">
      <c r="A20" s="18">
        <v>44773</v>
      </c>
      <c r="B20" s="10">
        <v>19</v>
      </c>
      <c r="C20" s="10" t="s">
        <v>63</v>
      </c>
      <c r="D20" s="10" t="s">
        <v>27</v>
      </c>
      <c r="E20" s="10" t="s">
        <v>28</v>
      </c>
      <c r="F20" s="10" t="s">
        <v>64</v>
      </c>
      <c r="G20" s="14">
        <v>50</v>
      </c>
      <c r="H20" s="11">
        <v>32</v>
      </c>
      <c r="I20" s="11">
        <f>IFERROR(Table2[[#This Row],[Quantity]]*Table2[[#This Row],[Price Per Unit]], "")</f>
        <v>1600</v>
      </c>
    </row>
    <row r="21" spans="1:9" x14ac:dyDescent="0.3">
      <c r="A21" s="18">
        <v>44804</v>
      </c>
      <c r="B21" s="10">
        <v>20</v>
      </c>
      <c r="C21" s="10" t="s">
        <v>65</v>
      </c>
      <c r="D21" s="10" t="s">
        <v>32</v>
      </c>
      <c r="E21" s="10" t="s">
        <v>33</v>
      </c>
      <c r="F21" s="10" t="s">
        <v>66</v>
      </c>
      <c r="G21" s="14">
        <v>55</v>
      </c>
      <c r="H21" s="11">
        <v>30.91</v>
      </c>
      <c r="I21" s="11">
        <f>IFERROR(Table2[[#This Row],[Quantity]]*Table2[[#This Row],[Price Per Unit]], "")</f>
        <v>1700.05</v>
      </c>
    </row>
    <row r="22" spans="1:9" x14ac:dyDescent="0.3">
      <c r="A22" s="18">
        <v>44834</v>
      </c>
      <c r="B22" s="10">
        <v>21</v>
      </c>
      <c r="C22" s="10" t="s">
        <v>67</v>
      </c>
      <c r="D22" s="10" t="s">
        <v>23</v>
      </c>
      <c r="E22" s="10" t="s">
        <v>20</v>
      </c>
      <c r="F22" s="10" t="s">
        <v>68</v>
      </c>
      <c r="G22" s="14">
        <v>60</v>
      </c>
      <c r="H22" s="11">
        <v>30</v>
      </c>
      <c r="I22" s="11">
        <f>IFERROR(Table2[[#This Row],[Quantity]]*Table2[[#This Row],[Price Per Unit]], "")</f>
        <v>1800</v>
      </c>
    </row>
    <row r="23" spans="1:9" x14ac:dyDescent="0.3">
      <c r="A23" s="18">
        <v>44865</v>
      </c>
      <c r="B23" s="10">
        <v>22</v>
      </c>
      <c r="C23" s="10" t="s">
        <v>69</v>
      </c>
      <c r="D23" s="10" t="s">
        <v>19</v>
      </c>
      <c r="E23" s="10" t="s">
        <v>91</v>
      </c>
      <c r="F23" s="10" t="s">
        <v>70</v>
      </c>
      <c r="G23" s="14">
        <v>0</v>
      </c>
      <c r="H23" s="10"/>
      <c r="I23" s="11">
        <f>IFERROR(Table2[[#This Row],[Quantity]]*Table2[[#This Row],[Price Per Unit]], "")</f>
        <v>0</v>
      </c>
    </row>
    <row r="24" spans="1:9" x14ac:dyDescent="0.3">
      <c r="A24" s="18">
        <v>44895</v>
      </c>
      <c r="B24" s="10">
        <v>23</v>
      </c>
      <c r="C24" s="10" t="s">
        <v>71</v>
      </c>
      <c r="D24" s="10" t="s">
        <v>27</v>
      </c>
      <c r="E24" s="10" t="s">
        <v>28</v>
      </c>
      <c r="F24" s="10" t="s">
        <v>72</v>
      </c>
      <c r="G24" s="14">
        <v>65</v>
      </c>
      <c r="H24" s="11">
        <v>30.77</v>
      </c>
      <c r="I24" s="11">
        <f>IFERROR(Table2[[#This Row],[Quantity]]*Table2[[#This Row],[Price Per Unit]], "")</f>
        <v>2000.05</v>
      </c>
    </row>
    <row r="25" spans="1:9" x14ac:dyDescent="0.3">
      <c r="A25" s="18">
        <v>44926</v>
      </c>
      <c r="B25" s="10">
        <v>24</v>
      </c>
      <c r="C25" s="10" t="s">
        <v>73</v>
      </c>
      <c r="D25" s="10" t="s">
        <v>32</v>
      </c>
      <c r="E25" s="10" t="s">
        <v>33</v>
      </c>
      <c r="F25" s="10" t="s">
        <v>74</v>
      </c>
      <c r="G25" s="14">
        <v>70</v>
      </c>
      <c r="H25" s="11">
        <v>30</v>
      </c>
      <c r="I25" s="11">
        <f>IFERROR(Table2[[#This Row],[Quantity]]*Table2[[#This Row],[Price Per Unit]], "")</f>
        <v>2100</v>
      </c>
    </row>
    <row r="26" spans="1:9" x14ac:dyDescent="0.3">
      <c r="A26" s="18">
        <v>44957</v>
      </c>
      <c r="B26" s="10">
        <v>25</v>
      </c>
      <c r="C26" s="10" t="s">
        <v>75</v>
      </c>
      <c r="D26" s="10" t="s">
        <v>76</v>
      </c>
      <c r="E26" s="10" t="s">
        <v>77</v>
      </c>
      <c r="F26" s="10" t="s">
        <v>78</v>
      </c>
      <c r="G26" s="14">
        <v>75</v>
      </c>
      <c r="H26" s="11">
        <v>29.33</v>
      </c>
      <c r="I26" s="11">
        <f>IFERROR(Table2[[#This Row],[Quantity]]*Table2[[#This Row],[Price Per Unit]], "")</f>
        <v>2199.75</v>
      </c>
    </row>
    <row r="27" spans="1:9" x14ac:dyDescent="0.3">
      <c r="A27" s="18">
        <v>44985</v>
      </c>
      <c r="B27" s="10">
        <v>26</v>
      </c>
      <c r="C27" s="10" t="s">
        <v>79</v>
      </c>
      <c r="D27" s="10" t="s">
        <v>76</v>
      </c>
      <c r="E27" s="10" t="s">
        <v>80</v>
      </c>
      <c r="F27" s="10" t="s">
        <v>81</v>
      </c>
      <c r="G27" s="14">
        <v>80</v>
      </c>
      <c r="H27" s="11">
        <v>28.75</v>
      </c>
      <c r="I27" s="11">
        <f>IFERROR(Table2[[#This Row],[Quantity]]*Table2[[#This Row],[Price Per Unit]], "")</f>
        <v>2300</v>
      </c>
    </row>
    <row r="28" spans="1:9" x14ac:dyDescent="0.3">
      <c r="A28" s="18">
        <v>45016</v>
      </c>
      <c r="B28" s="10">
        <v>27</v>
      </c>
      <c r="C28" s="10" t="s">
        <v>51</v>
      </c>
      <c r="D28" s="10" t="s">
        <v>23</v>
      </c>
      <c r="E28" s="10" t="s">
        <v>82</v>
      </c>
      <c r="F28" s="10" t="s">
        <v>83</v>
      </c>
      <c r="G28" s="14">
        <v>0</v>
      </c>
      <c r="H28" s="10"/>
      <c r="I28" s="11">
        <f>IFERROR(Table2[[#This Row],[Quantity]]*Table2[[#This Row],[Price Per Unit]], "")</f>
        <v>0</v>
      </c>
    </row>
    <row r="29" spans="1:9" x14ac:dyDescent="0.3">
      <c r="A29" s="18">
        <v>45046</v>
      </c>
      <c r="B29" s="10">
        <v>28</v>
      </c>
      <c r="C29" s="10" t="s">
        <v>49</v>
      </c>
      <c r="D29" s="10" t="s">
        <v>32</v>
      </c>
      <c r="E29" s="10" t="s">
        <v>84</v>
      </c>
      <c r="F29" s="10" t="s">
        <v>85</v>
      </c>
      <c r="G29" s="14">
        <v>85</v>
      </c>
      <c r="H29" s="11">
        <v>29.41</v>
      </c>
      <c r="I29" s="11">
        <f>IFERROR(Table2[[#This Row],[Quantity]]*Table2[[#This Row],[Price Per Unit]], "")</f>
        <v>2499.85</v>
      </c>
    </row>
  </sheetData>
  <dataValidations count="1">
    <dataValidation type="list" allowBlank="1" showInputMessage="1" showErrorMessage="1" sqref="D1:D1048576" xr:uid="{0A258052-D88C-4C4D-8A97-6BB77E77CEBA}">
      <formula1>"North, South, East, West, Asgard"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3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Copyright</vt:lpstr>
      <vt:lpstr>Raw Data </vt:lpstr>
      <vt:lpstr>Cleaned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DELL</cp:lastModifiedBy>
  <cp:revision/>
  <dcterms:created xsi:type="dcterms:W3CDTF">2019-12-23T04:48:23Z</dcterms:created>
  <dcterms:modified xsi:type="dcterms:W3CDTF">2025-11-07T12:29:56Z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